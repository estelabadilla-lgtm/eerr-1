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eerr grantt dasbord\"/>
    </mc:Choice>
  </mc:AlternateContent>
  <xr:revisionPtr revIDLastSave="0" documentId="13_ncr:1_{9B86B40E-7F4A-4C22-8B50-62C419A311B6}" xr6:coauthVersionLast="47" xr6:coauthVersionMax="47" xr10:uidLastSave="{00000000-0000-0000-0000-000000000000}"/>
  <bookViews>
    <workbookView xWindow="-120" yWindow="-120" windowWidth="29040" windowHeight="15720" xr2:uid="{37D4EE3A-C903-4D19-8B23-57B0CF3AE7D5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3" i="1" l="1"/>
  <c r="B112" i="1"/>
  <c r="B99" i="1"/>
  <c r="B89" i="1"/>
  <c r="B73" i="1"/>
  <c r="B70" i="1"/>
  <c r="B63" i="1"/>
  <c r="B61" i="1"/>
  <c r="B59" i="1"/>
  <c r="B51" i="1"/>
  <c r="B41" i="1"/>
  <c r="B18" i="1"/>
  <c r="B35" i="1" s="1"/>
  <c r="B10" i="1"/>
  <c r="B8" i="1"/>
  <c r="B16" i="1" s="1"/>
  <c r="B3" i="1"/>
  <c r="B37" i="1" l="1"/>
  <c r="B81" i="1"/>
  <c r="B83" i="1" s="1"/>
  <c r="B86" i="1" s="1"/>
  <c r="B108" i="1"/>
  <c r="B110" i="1" l="1"/>
  <c r="B126" i="1" s="1"/>
</calcChain>
</file>

<file path=xl/sharedStrings.xml><?xml version="1.0" encoding="utf-8"?>
<sst xmlns="http://schemas.openxmlformats.org/spreadsheetml/2006/main" count="121" uniqueCount="105">
  <si>
    <t>ESTADO  DE RESULTADO 2026</t>
  </si>
  <si>
    <t>PRESUPUESTO</t>
  </si>
  <si>
    <t xml:space="preserve">INGRESO DE EXPLOTACION                  </t>
  </si>
  <si>
    <t xml:space="preserve">          INGRESOS POR VENTAS                     </t>
  </si>
  <si>
    <t xml:space="preserve">                    30-01-01-02 Venta Línea Electricos      </t>
  </si>
  <si>
    <t xml:space="preserve">                    30-01-01-10 Venta Otros  AF</t>
  </si>
  <si>
    <t xml:space="preserve">                    30-01-01-21 Ventas de Herramientas Rptos</t>
  </si>
  <si>
    <t xml:space="preserve">TOTAL INGRESO DE EXPLOTACION            </t>
  </si>
  <si>
    <t xml:space="preserve"> </t>
  </si>
  <si>
    <t xml:space="preserve">          COSTOS DE VENTAS                        </t>
  </si>
  <si>
    <t xml:space="preserve">                    40-01-01-01 Costo Venta Linea Electricos</t>
  </si>
  <si>
    <t xml:space="preserve">                    40-01-01-21 Costo De ventas Herramientas</t>
  </si>
  <si>
    <t xml:space="preserve">                    40-01-04-21 ACUERDO COMERCIAL           </t>
  </si>
  <si>
    <t xml:space="preserve">                    40-01-04-21 REBATE ANUAL           </t>
  </si>
  <si>
    <t xml:space="preserve">                    Margen de Ventas(Margen de Contribucion)</t>
  </si>
  <si>
    <t xml:space="preserve">          COSTOS LOGISTICA Y OTROS                </t>
  </si>
  <si>
    <t xml:space="preserve">                    40-01-02-21 GASTOS DE BODEGA Y LOGISTICA</t>
  </si>
  <si>
    <t xml:space="preserve">                    40-01-02-22 MANTENCION DE Activos Fijos                   </t>
  </si>
  <si>
    <t xml:space="preserve">                    40-01-02-24 SEGUROS                     </t>
  </si>
  <si>
    <t xml:space="preserve">                    40-01-02-25 GASTOS DE LOGISTICA (PPALMEN</t>
  </si>
  <si>
    <t xml:space="preserve">                    40-01-02-26 ARRIENDO BODEGA             </t>
  </si>
  <si>
    <t xml:space="preserve">                    40-01-02-27 MATERIALES DE EMBALAJE      </t>
  </si>
  <si>
    <t xml:space="preserve">                    40-01-02-28 SERVICIOS SEGURIDAD GUARDIAS</t>
  </si>
  <si>
    <t xml:space="preserve">                    40-01-02-29 MOVIMIENTOS POR AJUSTE INVEN</t>
  </si>
  <si>
    <t xml:space="preserve">                    40-01-03-04 DIF COSTEO IMPORTACIONES    </t>
  </si>
  <si>
    <t xml:space="preserve">                    40-01-04-22 CERTIFICACIONES             </t>
  </si>
  <si>
    <t xml:space="preserve">                    40-01-04-23 MUESTRAS IMPORTACIONES      </t>
  </si>
  <si>
    <t xml:space="preserve">                    40-01-08-21 COMBUSTIBLE  VEHICULOS      </t>
  </si>
  <si>
    <t xml:space="preserve">                    40-01-08-22 FLETES ESTACIONAMIENTOS Y PE</t>
  </si>
  <si>
    <t xml:space="preserve">                    40-01-08-23 MANTENCION VEHICULOS        </t>
  </si>
  <si>
    <t xml:space="preserve">                    40-01-08-24 P.CIRCULACION VEHICULOS,SEG </t>
  </si>
  <si>
    <t xml:space="preserve">                    40-02-06-05 DIF COSTEO IMPORTACIONES    </t>
  </si>
  <si>
    <t xml:space="preserve">                    COSTOS DE EXPLOTACION             </t>
  </si>
  <si>
    <t xml:space="preserve">     MARGEN DE EXPLOTACION              </t>
  </si>
  <si>
    <t xml:space="preserve">                                        </t>
  </si>
  <si>
    <t xml:space="preserve">GASTOS DE ADMINISTRACION Y VENTAS       </t>
  </si>
  <si>
    <t xml:space="preserve">          REMUNERACIONES Y HONORARIOS             </t>
  </si>
  <si>
    <t xml:space="preserve">                    40-02-01-12 SUELDOS                     </t>
  </si>
  <si>
    <t xml:space="preserve">                    40-02-01-13 BONOS METAS                 </t>
  </si>
  <si>
    <t xml:space="preserve">                    40-02-01-14 FINIQUITOS PAGADOS          </t>
  </si>
  <si>
    <t xml:space="preserve">                    40-02-01-16 ACHS Aporte Mutual          </t>
  </si>
  <si>
    <t xml:space="preserve">                    40-02-01-17 Seg. Cesantia Empleador     </t>
  </si>
  <si>
    <t xml:space="preserve">                    40-02-01-18 SIS Empleador               </t>
  </si>
  <si>
    <t xml:space="preserve">                    40-02-01-19 Seguro Social  </t>
  </si>
  <si>
    <t xml:space="preserve">                    40-02-01-21 HONORARIOS                  </t>
  </si>
  <si>
    <t xml:space="preserve">                    40-02-04-04 Seguros Complementario      </t>
  </si>
  <si>
    <t xml:space="preserve">          OTROS GASTOS DEL PERSONAL               </t>
  </si>
  <si>
    <t xml:space="preserve">                    40-01-02-30 MERMAS DE BODEGA            </t>
  </si>
  <si>
    <t xml:space="preserve">                    40-01-02-31 Ropa de Trabajo</t>
  </si>
  <si>
    <t xml:space="preserve">                    40-02-01-10 Asesorias pagadas           </t>
  </si>
  <si>
    <t xml:space="preserve">                    40-02-02-21 Gastos de Capácitacion</t>
  </si>
  <si>
    <t xml:space="preserve">                    40-02-02-25 Gastos Varios del Personal  </t>
  </si>
  <si>
    <t xml:space="preserve">                    40-02-04-26 Gastos RRHH y ACT,Extra Programaticas</t>
  </si>
  <si>
    <t xml:space="preserve">          GASTOS DE OFICINA                       </t>
  </si>
  <si>
    <t xml:space="preserve">                    40-02-03-21 SERVICIOS BASICOS           </t>
  </si>
  <si>
    <t xml:space="preserve">                    40-02-04-21  ARTICULOS DE OFICINA,COCINA</t>
  </si>
  <si>
    <t xml:space="preserve">                    40-02-06-04 ARRIENDO OFICINA            </t>
  </si>
  <si>
    <t xml:space="preserve">          GASTOS GRALES OFICINA                   </t>
  </si>
  <si>
    <t xml:space="preserve">                    40-02-04-24 Servicios Computacionales   </t>
  </si>
  <si>
    <t xml:space="preserve">                    40-02-04-25 GASTOS PUBLICITARIOS  Y OTRO</t>
  </si>
  <si>
    <t xml:space="preserve">                    40-02-04-27 GASTOS Generales Varios</t>
  </si>
  <si>
    <t xml:space="preserve">                    40-02-06-07 PATENTE  COMERCIAL Y D° DE M</t>
  </si>
  <si>
    <t xml:space="preserve">                    40-02-08-01 COMISION  MERCADOLIBRE-MERCA</t>
  </si>
  <si>
    <t xml:space="preserve">          DEPRECIACION Y AMORTIZACION             </t>
  </si>
  <si>
    <t xml:space="preserve">                    40-02-06-01 Depreciacion Activo Fijo    </t>
  </si>
  <si>
    <t xml:space="preserve">          GASTOS FUERZA DE VENTAS                 </t>
  </si>
  <si>
    <t xml:space="preserve">                    40-03-04-07 Gastos Grles Varios Fuerza d</t>
  </si>
  <si>
    <t xml:space="preserve">                    40-03-04-12 Gastos  Traslado Locom., Pea</t>
  </si>
  <si>
    <t xml:space="preserve">                    40-03-04-18 Gastos Visitas Clientes     </t>
  </si>
  <si>
    <t xml:space="preserve">                    40-03-04-23 Gastos Viajes y Representaciones     </t>
  </si>
  <si>
    <t xml:space="preserve">                    40-03-09-21 Servicios de Informacion Ven</t>
  </si>
  <si>
    <t xml:space="preserve">TOTAL GASTOS DE ADMINISTRACION Y VENTAS </t>
  </si>
  <si>
    <t>TOTAL GASTOS  OPERACIONALES</t>
  </si>
  <si>
    <t xml:space="preserve">     RESULTADO OPERACIONAL UTILIDAD        </t>
  </si>
  <si>
    <t>INGRESOS NO OPERACIONALES</t>
  </si>
  <si>
    <t xml:space="preserve">          INGRESOS NO OPERACIONALES               </t>
  </si>
  <si>
    <t xml:space="preserve">                    30-01-02-01 Otros Ingresos de la Explota</t>
  </si>
  <si>
    <t xml:space="preserve">                    31-01-01-01 Ingresos Financieros        </t>
  </si>
  <si>
    <t xml:space="preserve">                    31-01-01-06 INTERESES PERCIBIDOS DPLAZO</t>
  </si>
  <si>
    <t xml:space="preserve">                    31-01-02-01 Utilidad Vtas del Activo</t>
  </si>
  <si>
    <t xml:space="preserve">                    31-01-02-02 Ajuste Inventario           </t>
  </si>
  <si>
    <t xml:space="preserve">                    31-01-02-03 Otros Ingresos              </t>
  </si>
  <si>
    <t xml:space="preserve">                    31-01-02-04 OTROS DESCUENTOS            </t>
  </si>
  <si>
    <t xml:space="preserve">GASTOS NO OPERACIONALES                 </t>
  </si>
  <si>
    <t xml:space="preserve">         GASTOS NO OPERACIONALES                 </t>
  </si>
  <si>
    <t xml:space="preserve">                    41-01-01-01 Gastos Financieros          </t>
  </si>
  <si>
    <t xml:space="preserve">                    41-01-01-02 Intereses Cta. Relacionada  </t>
  </si>
  <si>
    <t xml:space="preserve">                    41-01-01-04 Intereses Pagado            </t>
  </si>
  <si>
    <t xml:space="preserve">                    41-02-01-01 Ajuste Inv                  </t>
  </si>
  <si>
    <t xml:space="preserve">                    41-02-01-03 Otros Gtos Oper             </t>
  </si>
  <si>
    <t xml:space="preserve">                    41-02-01-04 Castigo Bodega marma          </t>
  </si>
  <si>
    <t xml:space="preserve">                    41-02-01-10 Otros Gastos C.C.D.G        </t>
  </si>
  <si>
    <t xml:space="preserve">     RESULTADO NO OPERACIONAL           </t>
  </si>
  <si>
    <t>RESULTADOM ANTES  DE C.MONETARIA</t>
  </si>
  <si>
    <t xml:space="preserve">          CORRECCION MONETARIA               </t>
  </si>
  <si>
    <t xml:space="preserve">                    31-01-03-01 Correcion Monet. A.fijo     </t>
  </si>
  <si>
    <t xml:space="preserve">                    31-01-03-01 Correcion Monet. Exixtencias</t>
  </si>
  <si>
    <t xml:space="preserve">                    31-01-03-02 Correcc.Monet.Rmte Cr.fiscal</t>
  </si>
  <si>
    <t xml:space="preserve">                    41-04-01-03 Correcc.Monet.Retiros       </t>
  </si>
  <si>
    <t xml:space="preserve">                    41-04-01-05 Correc.Monet PROVEEDORES/Extranjera </t>
  </si>
  <si>
    <t xml:space="preserve">                    41-04-01-10 Correccion Monetaria Rev.Cap</t>
  </si>
  <si>
    <t xml:space="preserve">                    41-05-01-02 Correccion Monetaria  USD</t>
  </si>
  <si>
    <t xml:space="preserve">                    41-05-01-02 Diferencia Tipo Cambio USD  </t>
  </si>
  <si>
    <t xml:space="preserve">                    41-06-01-02 Reajuste Impuesto Renta Art.</t>
  </si>
  <si>
    <t xml:space="preserve">     UTILIDAD (PERDIDA) DEL EJERCICIO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</si>
</sst>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3" fontId="0" fillId="0" borderId="0" xfId="0" applyNumberFormat="1"/>
    <xf numFmtId="3" fontId="4" fillId="0" borderId="0" xfId="0" applyNumberFormat="1" applyFont="1"/>
    <xf numFmtId="0" fontId="4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0" fontId="3" fillId="0" borderId="3" xfId="0" applyFont="1" applyBorder="1"/>
    <xf numFmtId="3" fontId="3" fillId="0" borderId="3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42" fontId="3" fillId="0" borderId="0" xfId="1" applyFont="1" applyFill="1" applyBorder="1"/>
    <xf numFmtId="0" fontId="3" fillId="0" borderId="0" xfId="0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1911-97D0-4CF2-9062-8164E4FFA85E}">
  <dimension ref="A1:B127"/>
  <sheetViews>
    <sheetView tabSelected="1" topLeftCell="A96" workbookViewId="0">
      <selection activeCell="B100" sqref="B100"/>
    </sheetView>
  </sheetViews>
  <sheetFormatPr baseColWidth="10" defaultRowHeight="15" x14ac:dyDescent="0.25"/>
  <cols>
    <col min="1" max="1" width="48.42578125" customWidth="1"/>
    <col min="2" max="2" width="35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2026</v>
      </c>
    </row>
    <row r="3" spans="1:2" ht="15.75" thickBot="1" x14ac:dyDescent="0.3">
      <c r="A3" s="3" t="s">
        <v>3</v>
      </c>
      <c r="B3" s="4">
        <f t="shared" ref="B3" si="0">SUM(B4:B6)</f>
        <v>4983852144</v>
      </c>
    </row>
    <row r="4" spans="1:2" ht="15.75" thickTop="1" x14ac:dyDescent="0.25">
      <c r="A4" t="s">
        <v>4</v>
      </c>
      <c r="B4" s="5">
        <v>4983852144</v>
      </c>
    </row>
    <row r="5" spans="1:2" x14ac:dyDescent="0.25">
      <c r="A5" t="s">
        <v>5</v>
      </c>
      <c r="B5" s="5">
        <v>0</v>
      </c>
    </row>
    <row r="6" spans="1:2" x14ac:dyDescent="0.25">
      <c r="A6" t="s">
        <v>6</v>
      </c>
      <c r="B6" s="5">
        <v>0</v>
      </c>
    </row>
    <row r="7" spans="1:2" x14ac:dyDescent="0.25">
      <c r="B7" s="5"/>
    </row>
    <row r="8" spans="1:2" ht="15.75" thickBot="1" x14ac:dyDescent="0.3">
      <c r="A8" s="3" t="s">
        <v>7</v>
      </c>
      <c r="B8" s="4">
        <f t="shared" ref="B8" si="1">SUM(B4:B6)</f>
        <v>4983852144</v>
      </c>
    </row>
    <row r="9" spans="1:2" ht="15.75" thickTop="1" x14ac:dyDescent="0.25">
      <c r="A9" s="6" t="s">
        <v>8</v>
      </c>
      <c r="B9" s="6"/>
    </row>
    <row r="10" spans="1:2" ht="15.75" thickBot="1" x14ac:dyDescent="0.3">
      <c r="A10" s="3" t="s">
        <v>9</v>
      </c>
      <c r="B10" s="4">
        <f t="shared" ref="B10" si="2">SUM(B11:B15)</f>
        <v>-3251995820</v>
      </c>
    </row>
    <row r="11" spans="1:2" ht="15.75" thickTop="1" x14ac:dyDescent="0.25">
      <c r="A11" t="s">
        <v>10</v>
      </c>
      <c r="B11" s="5">
        <v>-2501926072</v>
      </c>
    </row>
    <row r="12" spans="1:2" x14ac:dyDescent="0.25">
      <c r="A12" t="s">
        <v>11</v>
      </c>
      <c r="B12" s="5">
        <v>0</v>
      </c>
    </row>
    <row r="13" spans="1:2" x14ac:dyDescent="0.25">
      <c r="A13" t="s">
        <v>12</v>
      </c>
      <c r="B13" s="5">
        <v>-750069748</v>
      </c>
    </row>
    <row r="14" spans="1:2" x14ac:dyDescent="0.25">
      <c r="A14" t="s">
        <v>13</v>
      </c>
      <c r="B14" s="5">
        <v>0</v>
      </c>
    </row>
    <row r="15" spans="1:2" x14ac:dyDescent="0.25">
      <c r="A15" s="7" t="s">
        <v>8</v>
      </c>
      <c r="B15" s="6" t="s">
        <v>8</v>
      </c>
    </row>
    <row r="16" spans="1:2" ht="15.75" thickBot="1" x14ac:dyDescent="0.3">
      <c r="A16" s="8" t="s">
        <v>14</v>
      </c>
      <c r="B16" s="4">
        <f>+B8+B10</f>
        <v>1731856324</v>
      </c>
    </row>
    <row r="17" spans="1:2" ht="15.75" thickBot="1" x14ac:dyDescent="0.3">
      <c r="A17" s="9"/>
      <c r="B17" s="9"/>
    </row>
    <row r="18" spans="1:2" ht="15.75" thickBot="1" x14ac:dyDescent="0.3">
      <c r="A18" s="10" t="s">
        <v>15</v>
      </c>
      <c r="B18" s="11">
        <f t="shared" ref="B18" si="3">SUM(B19:B34)</f>
        <v>-239172246</v>
      </c>
    </row>
    <row r="19" spans="1:2" ht="15.75" thickTop="1" x14ac:dyDescent="0.25">
      <c r="A19" t="s">
        <v>16</v>
      </c>
      <c r="B19" s="5">
        <v>0</v>
      </c>
    </row>
    <row r="20" spans="1:2" x14ac:dyDescent="0.25">
      <c r="A20" t="s">
        <v>17</v>
      </c>
      <c r="B20" s="5">
        <v>-12000000</v>
      </c>
    </row>
    <row r="21" spans="1:2" x14ac:dyDescent="0.25">
      <c r="A21" t="s">
        <v>18</v>
      </c>
      <c r="B21" s="5">
        <v>-15559270</v>
      </c>
    </row>
    <row r="22" spans="1:2" x14ac:dyDescent="0.25">
      <c r="A22" t="s">
        <v>19</v>
      </c>
      <c r="B22" s="5">
        <v>-7475784</v>
      </c>
    </row>
    <row r="23" spans="1:2" x14ac:dyDescent="0.25">
      <c r="A23" t="s">
        <v>20</v>
      </c>
      <c r="B23" s="5">
        <v>-87217416</v>
      </c>
    </row>
    <row r="24" spans="1:2" x14ac:dyDescent="0.25">
      <c r="A24" t="s">
        <v>21</v>
      </c>
      <c r="B24" s="5">
        <v>-14951556</v>
      </c>
    </row>
    <row r="25" spans="1:2" x14ac:dyDescent="0.25">
      <c r="A25" t="s">
        <v>22</v>
      </c>
      <c r="B25" s="5">
        <v>-15000000</v>
      </c>
    </row>
    <row r="26" spans="1:2" x14ac:dyDescent="0.25">
      <c r="A26" t="s">
        <v>23</v>
      </c>
      <c r="B26">
        <v>0</v>
      </c>
    </row>
    <row r="27" spans="1:2" x14ac:dyDescent="0.25">
      <c r="A27" t="s">
        <v>24</v>
      </c>
      <c r="B27" s="5">
        <v>0</v>
      </c>
    </row>
    <row r="28" spans="1:2" x14ac:dyDescent="0.25">
      <c r="A28" t="s">
        <v>25</v>
      </c>
      <c r="B28" s="5">
        <v>-37378891</v>
      </c>
    </row>
    <row r="29" spans="1:2" x14ac:dyDescent="0.25">
      <c r="A29" t="s">
        <v>26</v>
      </c>
      <c r="B29" s="6">
        <v>-9967704</v>
      </c>
    </row>
    <row r="30" spans="1:2" x14ac:dyDescent="0.25">
      <c r="A30" t="s">
        <v>27</v>
      </c>
      <c r="B30" s="6">
        <v>-17443483</v>
      </c>
    </row>
    <row r="31" spans="1:2" x14ac:dyDescent="0.25">
      <c r="A31" t="s">
        <v>28</v>
      </c>
      <c r="B31" s="5">
        <v>-8472549</v>
      </c>
    </row>
    <row r="32" spans="1:2" x14ac:dyDescent="0.25">
      <c r="A32" t="s">
        <v>29</v>
      </c>
      <c r="B32" s="5">
        <v>-9469319</v>
      </c>
    </row>
    <row r="33" spans="1:2" x14ac:dyDescent="0.25">
      <c r="A33" t="s">
        <v>30</v>
      </c>
      <c r="B33" s="5">
        <v>-4236274</v>
      </c>
    </row>
    <row r="34" spans="1:2" x14ac:dyDescent="0.25">
      <c r="A34" t="s">
        <v>31</v>
      </c>
      <c r="B34" s="5" t="s">
        <v>8</v>
      </c>
    </row>
    <row r="35" spans="1:2" ht="15.75" thickBot="1" x14ac:dyDescent="0.3">
      <c r="A35" s="12" t="s">
        <v>32</v>
      </c>
      <c r="B35" s="13">
        <f>+B18+B10</f>
        <v>-3491168066</v>
      </c>
    </row>
    <row r="36" spans="1:2" ht="15.75" thickTop="1" x14ac:dyDescent="0.25">
      <c r="B36" s="5"/>
    </row>
    <row r="37" spans="1:2" ht="15.75" thickBot="1" x14ac:dyDescent="0.3">
      <c r="A37" s="12" t="s">
        <v>33</v>
      </c>
      <c r="B37" s="13">
        <f t="shared" ref="B37" si="4">+B16+B18</f>
        <v>1492684078</v>
      </c>
    </row>
    <row r="38" spans="1:2" ht="15.75" thickTop="1" x14ac:dyDescent="0.25">
      <c r="A38" t="s">
        <v>8</v>
      </c>
      <c r="B38" s="5" t="s">
        <v>8</v>
      </c>
    </row>
    <row r="39" spans="1:2" x14ac:dyDescent="0.25">
      <c r="A39" s="7" t="s">
        <v>34</v>
      </c>
      <c r="B39" s="14" t="s">
        <v>8</v>
      </c>
    </row>
    <row r="40" spans="1:2" x14ac:dyDescent="0.25">
      <c r="A40" s="15" t="s">
        <v>35</v>
      </c>
      <c r="B40" s="16"/>
    </row>
    <row r="41" spans="1:2" ht="15.75" thickBot="1" x14ac:dyDescent="0.3">
      <c r="A41" s="3" t="s">
        <v>36</v>
      </c>
      <c r="B41" s="4">
        <f>SUM(B42:B50)</f>
        <v>-851132626</v>
      </c>
    </row>
    <row r="42" spans="1:2" ht="15.75" thickTop="1" x14ac:dyDescent="0.25">
      <c r="A42" t="s">
        <v>37</v>
      </c>
      <c r="B42" s="5">
        <v>-598062257</v>
      </c>
    </row>
    <row r="43" spans="1:2" x14ac:dyDescent="0.25">
      <c r="A43" t="s">
        <v>38</v>
      </c>
      <c r="B43" s="5">
        <v>-74757782</v>
      </c>
    </row>
    <row r="44" spans="1:2" x14ac:dyDescent="0.25">
      <c r="A44" t="s">
        <v>39</v>
      </c>
      <c r="B44" s="5">
        <v>-14951556</v>
      </c>
    </row>
    <row r="45" spans="1:2" x14ac:dyDescent="0.25">
      <c r="A45" t="s">
        <v>40</v>
      </c>
      <c r="B45" s="5">
        <v>-7984908</v>
      </c>
    </row>
    <row r="46" spans="1:2" x14ac:dyDescent="0.25">
      <c r="A46" t="s">
        <v>41</v>
      </c>
      <c r="B46" s="5">
        <v>-17719608</v>
      </c>
    </row>
    <row r="47" spans="1:2" x14ac:dyDescent="0.25">
      <c r="A47" t="s">
        <v>42</v>
      </c>
      <c r="B47" s="5">
        <v>-9368100</v>
      </c>
    </row>
    <row r="48" spans="1:2" x14ac:dyDescent="0.25">
      <c r="A48" t="s">
        <v>43</v>
      </c>
      <c r="B48" s="5">
        <v>-5658591</v>
      </c>
    </row>
    <row r="49" spans="1:2" x14ac:dyDescent="0.25">
      <c r="A49" t="s">
        <v>44</v>
      </c>
      <c r="B49" s="5">
        <v>-113269824</v>
      </c>
    </row>
    <row r="50" spans="1:2" x14ac:dyDescent="0.25">
      <c r="A50" t="s">
        <v>45</v>
      </c>
      <c r="B50" s="5">
        <v>-9360000</v>
      </c>
    </row>
    <row r="51" spans="1:2" ht="15.75" thickBot="1" x14ac:dyDescent="0.3">
      <c r="A51" s="3" t="s">
        <v>46</v>
      </c>
      <c r="B51" s="4">
        <f>SUM(B52:B58)</f>
        <v>-17458015</v>
      </c>
    </row>
    <row r="52" spans="1:2" ht="15.75" thickTop="1" x14ac:dyDescent="0.25">
      <c r="A52" s="7" t="s">
        <v>47</v>
      </c>
      <c r="B52" s="5">
        <v>0</v>
      </c>
    </row>
    <row r="53" spans="1:2" x14ac:dyDescent="0.25">
      <c r="A53" t="s">
        <v>48</v>
      </c>
      <c r="B53" s="6">
        <v>-2990311</v>
      </c>
    </row>
    <row r="54" spans="1:2" x14ac:dyDescent="0.25">
      <c r="A54" s="7" t="s">
        <v>49</v>
      </c>
      <c r="B54" s="6">
        <v>0</v>
      </c>
    </row>
    <row r="55" spans="1:2" x14ac:dyDescent="0.25">
      <c r="A55" t="s">
        <v>50</v>
      </c>
      <c r="B55" s="5">
        <v>-4500000</v>
      </c>
    </row>
    <row r="56" spans="1:2" x14ac:dyDescent="0.25">
      <c r="A56" t="s">
        <v>51</v>
      </c>
      <c r="B56" s="6">
        <v>-4983852</v>
      </c>
    </row>
    <row r="57" spans="1:2" x14ac:dyDescent="0.25">
      <c r="A57" t="s">
        <v>52</v>
      </c>
      <c r="B57" s="6">
        <v>-4983852</v>
      </c>
    </row>
    <row r="58" spans="1:2" x14ac:dyDescent="0.25">
      <c r="A58" t="s">
        <v>8</v>
      </c>
      <c r="B58" s="5"/>
    </row>
    <row r="59" spans="1:2" ht="15.75" thickBot="1" x14ac:dyDescent="0.3">
      <c r="A59" s="3" t="s">
        <v>53</v>
      </c>
      <c r="B59" s="4">
        <f t="shared" ref="B59" si="5">SUM(B60:B62)</f>
        <v>-30443478</v>
      </c>
    </row>
    <row r="60" spans="1:2" ht="15.75" thickTop="1" x14ac:dyDescent="0.25">
      <c r="A60" t="s">
        <v>54</v>
      </c>
      <c r="B60" s="5">
        <v>-12459630</v>
      </c>
    </row>
    <row r="61" spans="1:2" x14ac:dyDescent="0.25">
      <c r="A61" t="s">
        <v>55</v>
      </c>
      <c r="B61" s="5">
        <f>-4983852</f>
        <v>-4983852</v>
      </c>
    </row>
    <row r="62" spans="1:2" x14ac:dyDescent="0.25">
      <c r="A62" t="s">
        <v>56</v>
      </c>
      <c r="B62" s="5">
        <v>-12999996</v>
      </c>
    </row>
    <row r="63" spans="1:2" ht="15.75" thickBot="1" x14ac:dyDescent="0.3">
      <c r="A63" s="3" t="s">
        <v>57</v>
      </c>
      <c r="B63" s="4">
        <f>SUM(B64:B68)</f>
        <v>-76790078</v>
      </c>
    </row>
    <row r="64" spans="1:2" ht="15.75" thickTop="1" x14ac:dyDescent="0.25">
      <c r="A64" t="s">
        <v>58</v>
      </c>
      <c r="B64" s="5">
        <v>-17443483</v>
      </c>
    </row>
    <row r="65" spans="1:2" x14ac:dyDescent="0.25">
      <c r="A65" t="s">
        <v>59</v>
      </c>
      <c r="B65" s="5">
        <v>-42362743</v>
      </c>
    </row>
    <row r="66" spans="1:2" x14ac:dyDescent="0.25">
      <c r="A66" t="s">
        <v>60</v>
      </c>
      <c r="B66" s="6">
        <v>-4983852</v>
      </c>
    </row>
    <row r="67" spans="1:2" x14ac:dyDescent="0.25">
      <c r="A67" t="s">
        <v>61</v>
      </c>
      <c r="B67" s="5">
        <v>-12000000</v>
      </c>
    </row>
    <row r="68" spans="1:2" x14ac:dyDescent="0.25">
      <c r="A68" t="s">
        <v>62</v>
      </c>
      <c r="B68" s="5">
        <v>0</v>
      </c>
    </row>
    <row r="69" spans="1:2" x14ac:dyDescent="0.25">
      <c r="B69" s="5"/>
    </row>
    <row r="70" spans="1:2" ht="15.75" thickBot="1" x14ac:dyDescent="0.3">
      <c r="A70" s="12" t="s">
        <v>63</v>
      </c>
      <c r="B70" s="13">
        <f>SUM(B71:B72)</f>
        <v>-66999996</v>
      </c>
    </row>
    <row r="71" spans="1:2" ht="15.75" thickTop="1" x14ac:dyDescent="0.25">
      <c r="A71" t="s">
        <v>64</v>
      </c>
      <c r="B71" s="5">
        <v>-66999996</v>
      </c>
    </row>
    <row r="72" spans="1:2" x14ac:dyDescent="0.25">
      <c r="B72" s="5"/>
    </row>
    <row r="73" spans="1:2" ht="15.75" thickBot="1" x14ac:dyDescent="0.3">
      <c r="A73" s="3" t="s">
        <v>65</v>
      </c>
      <c r="B73" s="4">
        <f>SUM(B77:B78)</f>
        <v>-25916031</v>
      </c>
    </row>
    <row r="74" spans="1:2" ht="15.75" thickTop="1" x14ac:dyDescent="0.25">
      <c r="A74" t="s">
        <v>66</v>
      </c>
      <c r="B74" s="5">
        <v>0</v>
      </c>
    </row>
    <row r="75" spans="1:2" x14ac:dyDescent="0.25">
      <c r="A75" t="s">
        <v>67</v>
      </c>
      <c r="B75" s="5">
        <v>0</v>
      </c>
    </row>
    <row r="76" spans="1:2" x14ac:dyDescent="0.25">
      <c r="A76" t="s">
        <v>68</v>
      </c>
      <c r="B76" s="5">
        <v>0</v>
      </c>
    </row>
    <row r="77" spans="1:2" x14ac:dyDescent="0.25">
      <c r="A77" t="s">
        <v>69</v>
      </c>
      <c r="B77" s="5">
        <v>-18440253</v>
      </c>
    </row>
    <row r="78" spans="1:2" x14ac:dyDescent="0.25">
      <c r="A78" t="s">
        <v>70</v>
      </c>
      <c r="B78" s="5">
        <v>-7475778</v>
      </c>
    </row>
    <row r="79" spans="1:2" x14ac:dyDescent="0.25">
      <c r="A79" t="s">
        <v>8</v>
      </c>
      <c r="B79" s="5"/>
    </row>
    <row r="80" spans="1:2" x14ac:dyDescent="0.25">
      <c r="A80" t="s">
        <v>8</v>
      </c>
      <c r="B80" s="5"/>
    </row>
    <row r="81" spans="1:2" ht="15.75" thickBot="1" x14ac:dyDescent="0.3">
      <c r="A81" s="3" t="s">
        <v>71</v>
      </c>
      <c r="B81" s="4">
        <f>+B41+B51+B59+B63+B70+B73</f>
        <v>-1068740224</v>
      </c>
    </row>
    <row r="82" spans="1:2" ht="15.75" thickTop="1" x14ac:dyDescent="0.25">
      <c r="A82" s="7" t="s">
        <v>34</v>
      </c>
      <c r="B82" s="6" t="s">
        <v>8</v>
      </c>
    </row>
    <row r="83" spans="1:2" ht="15.75" thickBot="1" x14ac:dyDescent="0.3">
      <c r="A83" s="3" t="s">
        <v>72</v>
      </c>
      <c r="B83" s="4">
        <f>+B81+B18</f>
        <v>-1307912470</v>
      </c>
    </row>
    <row r="84" spans="1:2" ht="15.75" thickTop="1" x14ac:dyDescent="0.25">
      <c r="A84" s="7"/>
      <c r="B84" s="6" t="s">
        <v>8</v>
      </c>
    </row>
    <row r="85" spans="1:2" x14ac:dyDescent="0.25">
      <c r="A85" s="7"/>
      <c r="B85" s="6" t="s">
        <v>8</v>
      </c>
    </row>
    <row r="86" spans="1:2" ht="15.75" thickBot="1" x14ac:dyDescent="0.3">
      <c r="A86" s="3" t="s">
        <v>73</v>
      </c>
      <c r="B86" s="4">
        <f>+B83+B16</f>
        <v>423943854</v>
      </c>
    </row>
    <row r="87" spans="1:2" ht="15.75" thickTop="1" x14ac:dyDescent="0.25">
      <c r="A87" s="15"/>
      <c r="B87" s="16" t="s">
        <v>8</v>
      </c>
    </row>
    <row r="88" spans="1:2" x14ac:dyDescent="0.25">
      <c r="A88" s="15" t="s">
        <v>74</v>
      </c>
      <c r="B88" s="16"/>
    </row>
    <row r="89" spans="1:2" ht="15.75" thickBot="1" x14ac:dyDescent="0.3">
      <c r="A89" s="17" t="s">
        <v>75</v>
      </c>
      <c r="B89" s="4">
        <f t="shared" ref="B89" si="6">SUM(B90:B97)</f>
        <v>0</v>
      </c>
    </row>
    <row r="90" spans="1:2" ht="15.75" thickTop="1" x14ac:dyDescent="0.25">
      <c r="A90" t="s">
        <v>76</v>
      </c>
      <c r="B90" s="5"/>
    </row>
    <row r="91" spans="1:2" x14ac:dyDescent="0.25">
      <c r="A91" t="s">
        <v>77</v>
      </c>
      <c r="B91" s="5"/>
    </row>
    <row r="92" spans="1:2" x14ac:dyDescent="0.25">
      <c r="A92" s="7" t="s">
        <v>78</v>
      </c>
      <c r="B92" s="6"/>
    </row>
    <row r="93" spans="1:2" x14ac:dyDescent="0.25">
      <c r="A93" t="s">
        <v>79</v>
      </c>
      <c r="B93" s="5"/>
    </row>
    <row r="94" spans="1:2" x14ac:dyDescent="0.25">
      <c r="A94" t="s">
        <v>80</v>
      </c>
      <c r="B94" s="5"/>
    </row>
    <row r="95" spans="1:2" x14ac:dyDescent="0.25">
      <c r="A95" t="s">
        <v>81</v>
      </c>
      <c r="B95" s="5"/>
    </row>
    <row r="96" spans="1:2" x14ac:dyDescent="0.25">
      <c r="A96" s="7" t="s">
        <v>82</v>
      </c>
      <c r="B96" s="6"/>
    </row>
    <row r="97" spans="1:2" x14ac:dyDescent="0.25">
      <c r="A97" t="s">
        <v>8</v>
      </c>
      <c r="B97" s="5"/>
    </row>
    <row r="98" spans="1:2" x14ac:dyDescent="0.25">
      <c r="A98" s="17" t="s">
        <v>83</v>
      </c>
      <c r="B98" s="18"/>
    </row>
    <row r="99" spans="1:2" ht="15.75" thickBot="1" x14ac:dyDescent="0.3">
      <c r="A99" s="17" t="s">
        <v>84</v>
      </c>
      <c r="B99" s="13">
        <f t="shared" ref="B99" si="7">SUM(B100:B107)</f>
        <v>-2491932</v>
      </c>
    </row>
    <row r="100" spans="1:2" ht="15.75" thickTop="1" x14ac:dyDescent="0.25">
      <c r="A100" t="s">
        <v>85</v>
      </c>
      <c r="B100" s="5"/>
    </row>
    <row r="101" spans="1:2" x14ac:dyDescent="0.25">
      <c r="A101" s="7" t="s">
        <v>86</v>
      </c>
      <c r="B101" s="6"/>
    </row>
    <row r="102" spans="1:2" x14ac:dyDescent="0.25">
      <c r="A102" t="s">
        <v>87</v>
      </c>
      <c r="B102" s="5"/>
    </row>
    <row r="103" spans="1:2" x14ac:dyDescent="0.25">
      <c r="A103" t="s">
        <v>88</v>
      </c>
      <c r="B103" s="5">
        <v>-2491932</v>
      </c>
    </row>
    <row r="104" spans="1:2" x14ac:dyDescent="0.25">
      <c r="A104" t="s">
        <v>89</v>
      </c>
      <c r="B104" s="5"/>
    </row>
    <row r="105" spans="1:2" x14ac:dyDescent="0.25">
      <c r="A105" t="s">
        <v>90</v>
      </c>
      <c r="B105" s="5"/>
    </row>
    <row r="106" spans="1:2" x14ac:dyDescent="0.25">
      <c r="A106" t="s">
        <v>91</v>
      </c>
      <c r="B106" s="6"/>
    </row>
    <row r="107" spans="1:2" x14ac:dyDescent="0.25">
      <c r="B107" s="5"/>
    </row>
    <row r="108" spans="1:2" ht="15.75" thickBot="1" x14ac:dyDescent="0.3">
      <c r="A108" s="3" t="s">
        <v>92</v>
      </c>
      <c r="B108" s="4">
        <f>+B99+B89</f>
        <v>-2491932</v>
      </c>
    </row>
    <row r="109" spans="1:2" ht="15.75" thickTop="1" x14ac:dyDescent="0.25">
      <c r="A109" s="7"/>
      <c r="B109" s="6"/>
    </row>
    <row r="110" spans="1:2" ht="15.75" thickBot="1" x14ac:dyDescent="0.3">
      <c r="A110" s="3" t="s">
        <v>93</v>
      </c>
      <c r="B110" s="4">
        <f t="shared" ref="B110" si="8">+B108+B86</f>
        <v>421451922</v>
      </c>
    </row>
    <row r="111" spans="1:2" ht="15.75" thickTop="1" x14ac:dyDescent="0.25">
      <c r="A111" s="7"/>
      <c r="B111" s="6"/>
    </row>
    <row r="112" spans="1:2" ht="15.75" thickBot="1" x14ac:dyDescent="0.3">
      <c r="A112" s="3" t="s">
        <v>94</v>
      </c>
      <c r="B112" s="13">
        <f>SUM(B113:B121)</f>
        <v>0</v>
      </c>
    </row>
    <row r="113" spans="1:2" ht="15.75" thickTop="1" x14ac:dyDescent="0.25">
      <c r="A113" t="s">
        <v>95</v>
      </c>
      <c r="B113" s="5"/>
    </row>
    <row r="114" spans="1:2" x14ac:dyDescent="0.25">
      <c r="A114" t="s">
        <v>96</v>
      </c>
      <c r="B114" s="5"/>
    </row>
    <row r="115" spans="1:2" x14ac:dyDescent="0.25">
      <c r="A115" s="7" t="s">
        <v>97</v>
      </c>
      <c r="B115" s="6"/>
    </row>
    <row r="116" spans="1:2" x14ac:dyDescent="0.25">
      <c r="A116" t="s">
        <v>98</v>
      </c>
      <c r="B116" s="5"/>
    </row>
    <row r="117" spans="1:2" x14ac:dyDescent="0.25">
      <c r="A117" t="s">
        <v>99</v>
      </c>
      <c r="B117" s="5"/>
    </row>
    <row r="118" spans="1:2" x14ac:dyDescent="0.25">
      <c r="A118" t="s">
        <v>100</v>
      </c>
      <c r="B118" s="5"/>
    </row>
    <row r="119" spans="1:2" x14ac:dyDescent="0.25">
      <c r="A119" s="7" t="s">
        <v>101</v>
      </c>
      <c r="B119" s="6"/>
    </row>
    <row r="120" spans="1:2" x14ac:dyDescent="0.25">
      <c r="A120" t="s">
        <v>102</v>
      </c>
      <c r="B120" s="5"/>
    </row>
    <row r="121" spans="1:2" x14ac:dyDescent="0.25">
      <c r="A121" t="s">
        <v>103</v>
      </c>
      <c r="B121" s="5"/>
    </row>
    <row r="122" spans="1:2" x14ac:dyDescent="0.25">
      <c r="B122" s="5"/>
    </row>
    <row r="123" spans="1:2" ht="15.75" thickBot="1" x14ac:dyDescent="0.3">
      <c r="A123" s="3" t="s">
        <v>94</v>
      </c>
      <c r="B123" s="4">
        <f>SUM(B113:B121)</f>
        <v>0</v>
      </c>
    </row>
    <row r="124" spans="1:2" ht="15.75" thickTop="1" x14ac:dyDescent="0.25">
      <c r="A124" s="15"/>
      <c r="B124" s="16"/>
    </row>
    <row r="125" spans="1:2" x14ac:dyDescent="0.25">
      <c r="B125" s="5"/>
    </row>
    <row r="126" spans="1:2" ht="15.75" thickBot="1" x14ac:dyDescent="0.3">
      <c r="A126" s="3" t="s">
        <v>104</v>
      </c>
      <c r="B126" s="4">
        <f>+B123+B110</f>
        <v>421451922</v>
      </c>
    </row>
    <row r="127" spans="1: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Grantt</dc:creator>
  <cp:lastModifiedBy>Comercial Grantt</cp:lastModifiedBy>
  <dcterms:created xsi:type="dcterms:W3CDTF">2026-06-16T20:40:39Z</dcterms:created>
  <dcterms:modified xsi:type="dcterms:W3CDTF">2026-06-16T21:26:07Z</dcterms:modified>
</cp:coreProperties>
</file>